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F" sheetId="1" state="visible" r:id="rId1"/>
    <sheet name="KPIツリー" sheetId="2" state="visible" r:id="rId2"/>
    <sheet name="月次KPIトラッカ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20" customWidth="1" min="4" max="4"/>
    <col width="15" customWidth="1" min="5" max="5"/>
    <col width="12" customWidth="1" min="6" max="6"/>
  </cols>
  <sheetData>
    <row r="1">
      <c r="A1" s="1" t="inlineStr">
        <is>
          <t>KSF（重要成功要因）: 結婚式タイムカプセルワイン事業</t>
        </is>
      </c>
    </row>
    <row r="3">
      <c r="A3" s="2" t="inlineStr">
        <is>
          <t>KSF ID</t>
        </is>
      </c>
      <c r="B3" s="2" t="inlineStr">
        <is>
          <t>カテゴリ</t>
        </is>
      </c>
      <c r="C3" s="2" t="inlineStr">
        <is>
          <t>重要成功要因</t>
        </is>
      </c>
      <c r="D3" s="2" t="inlineStr">
        <is>
          <t>測定指標</t>
        </is>
      </c>
      <c r="E3" s="2" t="inlineStr">
        <is>
          <t>目標値</t>
        </is>
      </c>
      <c r="F3" s="2" t="inlineStr">
        <is>
          <t>ステータス</t>
        </is>
      </c>
    </row>
    <row r="4">
      <c r="A4" s="3" t="inlineStr">
        <is>
          <t>KSF-1</t>
        </is>
      </c>
      <c r="B4" s="3" t="inlineStr">
        <is>
          <t>クリティカル仮説</t>
        </is>
      </c>
      <c r="C4" s="3" t="inlineStr">
        <is>
          <t>通信販売酒類小売業免許の取得</t>
        </is>
      </c>
      <c r="D4" s="3" t="inlineStr">
        <is>
          <t>免許取得可否</t>
        </is>
      </c>
      <c r="E4" s="3" t="inlineStr">
        <is>
          <t>取得完了</t>
        </is>
      </c>
      <c r="F4" s="4" t="inlineStr"/>
    </row>
    <row r="5">
      <c r="A5" s="3" t="inlineStr">
        <is>
          <t>KSF-2</t>
        </is>
      </c>
      <c r="B5" s="3" t="inlineStr">
        <is>
          <t>クリティカル仮説</t>
        </is>
      </c>
      <c r="C5" s="3" t="inlineStr">
        <is>
          <t>小ロット対応仕入れ先の確保</t>
        </is>
      </c>
      <c r="D5" s="3" t="inlineStr">
        <is>
          <t>取引可能業者数</t>
        </is>
      </c>
      <c r="E5" s="3" t="inlineStr">
        <is>
          <t>3社以上</t>
        </is>
      </c>
      <c r="F5" s="4" t="inlineStr"/>
    </row>
    <row r="6">
      <c r="A6" s="3" t="inlineStr">
        <is>
          <t>KSF-3</t>
        </is>
      </c>
      <c r="B6" s="3" t="inlineStr">
        <is>
          <t>クリティカル仮説</t>
        </is>
      </c>
      <c r="C6" s="3" t="inlineStr">
        <is>
          <t>WTP 12,000円/本の検証</t>
        </is>
      </c>
      <c r="D6" s="3" t="inlineStr">
        <is>
          <t>Makuake達成率</t>
        </is>
      </c>
      <c r="E6" s="3" t="inlineStr">
        <is>
          <t>70%以上</t>
        </is>
      </c>
      <c r="F6" s="4" t="inlineStr"/>
    </row>
    <row r="7">
      <c r="A7" s="3" t="inlineStr">
        <is>
          <t>KSF-4</t>
        </is>
      </c>
      <c r="B7" s="3" t="inlineStr">
        <is>
          <t>Conditional Go条件</t>
        </is>
      </c>
      <c r="C7" s="3" t="inlineStr">
        <is>
          <t>Makuake目標達成</t>
        </is>
      </c>
      <c r="D7" s="3" t="inlineStr">
        <is>
          <t>支援額</t>
        </is>
      </c>
      <c r="E7" s="3" t="inlineStr">
        <is>
          <t>42万円以上</t>
        </is>
      </c>
      <c r="F7" s="4" t="inlineStr"/>
    </row>
    <row r="8">
      <c r="A8" s="3" t="inlineStr">
        <is>
          <t>KSF-5</t>
        </is>
      </c>
      <c r="B8" s="3" t="inlineStr">
        <is>
          <t>Conditional Go条件</t>
        </is>
      </c>
      <c r="C8" s="3" t="inlineStr">
        <is>
          <t>12,000円リターン選択率</t>
        </is>
      </c>
      <c r="D8" s="3" t="inlineStr">
        <is>
          <t>リターン構成比</t>
        </is>
      </c>
      <c r="E8" s="3" t="inlineStr">
        <is>
          <t>50%以上</t>
        </is>
      </c>
      <c r="F8" s="4" t="inlineStr"/>
    </row>
    <row r="9">
      <c r="A9" s="3" t="inlineStr">
        <is>
          <t>KSF-6</t>
        </is>
      </c>
      <c r="B9" s="3" t="inlineStr">
        <is>
          <t>キルファクター緩和</t>
        </is>
      </c>
      <c r="C9" s="3" t="inlineStr">
        <is>
          <t>品質保証リスク対策</t>
        </is>
      </c>
      <c r="D9" s="3" t="inlineStr">
        <is>
          <t>免責条項整備</t>
        </is>
      </c>
      <c r="E9" s="3" t="inlineStr">
        <is>
          <t>完了</t>
        </is>
      </c>
      <c r="F9" s="4" t="inlineStr"/>
    </row>
    <row r="10">
      <c r="A10" s="3" t="inlineStr">
        <is>
          <t>KSF-7</t>
        </is>
      </c>
      <c r="B10" s="3" t="inlineStr">
        <is>
          <t>キルファクター緩和</t>
        </is>
      </c>
      <c r="C10" s="3" t="inlineStr">
        <is>
          <t>差別化訴求の成功</t>
        </is>
      </c>
      <c r="D10" s="3" t="inlineStr">
        <is>
          <t>支援者の共感コメント</t>
        </is>
      </c>
      <c r="E10" s="3" t="inlineStr">
        <is>
          <t>多数</t>
        </is>
      </c>
      <c r="F10" s="4" t="inlineStr"/>
    </row>
    <row r="11">
      <c r="A11" s="3" t="inlineStr">
        <is>
          <t>KSF-8</t>
        </is>
      </c>
      <c r="B11" s="3" t="inlineStr">
        <is>
          <t>撤退基準</t>
        </is>
      </c>
      <c r="C11" s="3" t="inlineStr">
        <is>
          <t>Makuake達成率30%以上</t>
        </is>
      </c>
      <c r="D11" s="3" t="inlineStr">
        <is>
          <t>達成率</t>
        </is>
      </c>
      <c r="E11" s="3" t="inlineStr">
        <is>
          <t>&gt;30%</t>
        </is>
      </c>
      <c r="F11" s="4" t="inlineStr"/>
    </row>
    <row r="12">
      <c r="A12" s="3" t="inlineStr">
        <is>
          <t>KSF-9</t>
        </is>
      </c>
      <c r="B12" s="3" t="inlineStr">
        <is>
          <t>撤退基準</t>
        </is>
      </c>
      <c r="C12" s="3" t="inlineStr">
        <is>
          <t>月間販売5本以上（3ヶ月連続）</t>
        </is>
      </c>
      <c r="D12" s="3" t="inlineStr">
        <is>
          <t>月間販売本数</t>
        </is>
      </c>
      <c r="E12" s="3" t="inlineStr">
        <is>
          <t>&gt;5本</t>
        </is>
      </c>
      <c r="F12" s="4" t="inlineStr"/>
    </row>
    <row r="13">
      <c r="A13" s="3" t="inlineStr">
        <is>
          <t>KSF-10</t>
        </is>
      </c>
      <c r="B13" s="3" t="inlineStr">
        <is>
          <t>撤退基準</t>
        </is>
      </c>
      <c r="C13" s="3" t="inlineStr">
        <is>
          <t>累計100本（Year 1末）</t>
        </is>
      </c>
      <c r="D13" s="3" t="inlineStr">
        <is>
          <t>累計販売本数</t>
        </is>
      </c>
      <c r="E13" s="3" t="inlineStr">
        <is>
          <t>&gt;100本</t>
        </is>
      </c>
      <c r="F13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0" customWidth="1" min="4" max="4"/>
    <col width="18" customWidth="1" min="5" max="5"/>
    <col width="10" customWidth="1" min="6" max="6"/>
  </cols>
  <sheetData>
    <row r="1">
      <c r="A1" s="1" t="inlineStr">
        <is>
          <t>KPIツリー: North Star Metric → L2 KPI</t>
        </is>
      </c>
    </row>
    <row r="3">
      <c r="A3" s="2" t="inlineStr">
        <is>
          <t>レベル</t>
        </is>
      </c>
      <c r="B3" s="2" t="inlineStr">
        <is>
          <t>KPI名</t>
        </is>
      </c>
      <c r="C3" s="2" t="inlineStr">
        <is>
          <t>定義</t>
        </is>
      </c>
      <c r="D3" s="2" t="inlineStr">
        <is>
          <t>計算式</t>
        </is>
      </c>
      <c r="E3" s="2" t="inlineStr">
        <is>
          <t>目標値（Year 1）</t>
        </is>
      </c>
      <c r="F3" s="2" t="inlineStr">
        <is>
          <t>頻度</t>
        </is>
      </c>
    </row>
    <row r="4">
      <c r="A4" s="3" t="inlineStr">
        <is>
          <t>L0 (NSM)</t>
        </is>
      </c>
      <c r="B4" s="3" t="inlineStr">
        <is>
          <t>累計販売本数</t>
        </is>
      </c>
      <c r="C4" s="3" t="inlineStr">
        <is>
          <t>販売したワインの累計本数</t>
        </is>
      </c>
      <c r="D4" s="3" t="inlineStr">
        <is>
          <t>SUM(月間販売本数)</t>
        </is>
      </c>
      <c r="E4" s="3" t="inlineStr">
        <is>
          <t>120本</t>
        </is>
      </c>
      <c r="F4" s="3" t="inlineStr">
        <is>
          <t>月次</t>
        </is>
      </c>
    </row>
    <row r="5">
      <c r="A5" s="3" t="inlineStr">
        <is>
          <t>L1</t>
        </is>
      </c>
      <c r="B5" s="3" t="inlineStr">
        <is>
          <t>累計売上</t>
        </is>
      </c>
      <c r="C5" s="3" t="inlineStr">
        <is>
          <t>総売上金額</t>
        </is>
      </c>
      <c r="D5" s="3" t="inlineStr">
        <is>
          <t>累計販売本数 × 平均単価</t>
        </is>
      </c>
      <c r="E5" s="3" t="inlineStr">
        <is>
          <t>144万円</t>
        </is>
      </c>
      <c r="F5" s="3" t="inlineStr">
        <is>
          <t>月次</t>
        </is>
      </c>
    </row>
    <row r="6">
      <c r="A6" s="3" t="inlineStr">
        <is>
          <t>L1</t>
        </is>
      </c>
      <c r="B6" s="3" t="inlineStr">
        <is>
          <t>累計営業利益</t>
        </is>
      </c>
      <c r="C6" s="3" t="inlineStr">
        <is>
          <t>売上 - 費用</t>
        </is>
      </c>
      <c r="D6" s="3" t="inlineStr">
        <is>
          <t>累計粗利 - 累計固定費</t>
        </is>
      </c>
      <c r="E6" s="3" t="inlineStr">
        <is>
          <t>39万円</t>
        </is>
      </c>
      <c r="F6" s="3" t="inlineStr">
        <is>
          <t>月次</t>
        </is>
      </c>
    </row>
    <row r="7">
      <c r="A7" s="3" t="inlineStr">
        <is>
          <t>L2</t>
        </is>
      </c>
      <c r="B7" s="3" t="inlineStr">
        <is>
          <t>月間販売本数</t>
        </is>
      </c>
      <c r="C7" s="3" t="inlineStr">
        <is>
          <t>当月の販売本数</t>
        </is>
      </c>
      <c r="D7" s="3" t="inlineStr">
        <is>
          <t>COUNT(当月注文)</t>
        </is>
      </c>
      <c r="E7" s="3" t="inlineStr">
        <is>
          <t>10本（M12）</t>
        </is>
      </c>
      <c r="F7" s="3" t="inlineStr">
        <is>
          <t>月次</t>
        </is>
      </c>
    </row>
    <row r="8">
      <c r="A8" s="3" t="inlineStr">
        <is>
          <t>L2</t>
        </is>
      </c>
      <c r="B8" s="3" t="inlineStr">
        <is>
          <t>顧客数</t>
        </is>
      </c>
      <c r="C8" s="3" t="inlineStr">
        <is>
          <t>購入した顧客数</t>
        </is>
      </c>
      <c r="D8" s="3" t="inlineStr">
        <is>
          <t>COUNT(ユニーク顧客)</t>
        </is>
      </c>
      <c r="E8" s="3" t="inlineStr">
        <is>
          <t>55名</t>
        </is>
      </c>
      <c r="F8" s="3" t="inlineStr">
        <is>
          <t>月次</t>
        </is>
      </c>
    </row>
    <row r="9">
      <c r="A9" s="3" t="inlineStr">
        <is>
          <t>L2</t>
        </is>
      </c>
      <c r="B9" s="3" t="inlineStr">
        <is>
          <t>CAC</t>
        </is>
      </c>
      <c r="C9" s="3" t="inlineStr">
        <is>
          <t>顧客獲得コスト</t>
        </is>
      </c>
      <c r="D9" s="3" t="inlineStr">
        <is>
          <t>広告費 / 新規顧客数</t>
        </is>
      </c>
      <c r="E9" s="3" t="inlineStr">
        <is>
          <t>2,500円</t>
        </is>
      </c>
      <c r="F9" s="3" t="inlineStr">
        <is>
          <t>月次</t>
        </is>
      </c>
    </row>
    <row r="10">
      <c r="A10" s="3" t="inlineStr">
        <is>
          <t>L2</t>
        </is>
      </c>
      <c r="B10" s="3" t="inlineStr">
        <is>
          <t>LTV</t>
        </is>
      </c>
      <c r="C10" s="3" t="inlineStr">
        <is>
          <t>顧客生涯価値</t>
        </is>
      </c>
      <c r="D10" s="3" t="inlineStr">
        <is>
          <t>ARPU × (1 + リピート率)</t>
        </is>
      </c>
      <c r="E10" s="3" t="inlineStr">
        <is>
          <t>18,750円</t>
        </is>
      </c>
      <c r="F10" s="3" t="inlineStr">
        <is>
          <t>四半期</t>
        </is>
      </c>
    </row>
    <row r="11">
      <c r="A11" s="3" t="inlineStr">
        <is>
          <t>L2</t>
        </is>
      </c>
      <c r="B11" s="3" t="inlineStr">
        <is>
          <t>LTV/CAC</t>
        </is>
      </c>
      <c r="C11" s="3" t="inlineStr">
        <is>
          <t>LTV対CAC比率</t>
        </is>
      </c>
      <c r="D11" s="3" t="inlineStr">
        <is>
          <t>LTV / CAC</t>
        </is>
      </c>
      <c r="E11" s="3" t="inlineStr">
        <is>
          <t>7.5倍</t>
        </is>
      </c>
      <c r="F11" s="3" t="inlineStr">
        <is>
          <t>四半期</t>
        </is>
      </c>
    </row>
    <row r="12">
      <c r="A12" s="3" t="inlineStr">
        <is>
          <t>L2</t>
        </is>
      </c>
      <c r="B12" s="3" t="inlineStr">
        <is>
          <t>CVR</t>
        </is>
      </c>
      <c r="C12" s="3" t="inlineStr">
        <is>
          <t>コンバージョン率</t>
        </is>
      </c>
      <c r="D12" s="3" t="inlineStr">
        <is>
          <t>購入数 / セッション数</t>
        </is>
      </c>
      <c r="E12" s="3" t="inlineStr">
        <is>
          <t>2.0%</t>
        </is>
      </c>
      <c r="F12" s="3" t="inlineStr">
        <is>
          <t>週次</t>
        </is>
      </c>
    </row>
    <row r="13">
      <c r="A13" s="3" t="inlineStr">
        <is>
          <t>L2</t>
        </is>
      </c>
      <c r="B13" s="3" t="inlineStr">
        <is>
          <t>リピート率</t>
        </is>
      </c>
      <c r="C13" s="3" t="inlineStr">
        <is>
          <t>再購入率</t>
        </is>
      </c>
      <c r="D13" s="3" t="inlineStr">
        <is>
          <t>2回以上購入顧客 / 総顧客</t>
        </is>
      </c>
      <c r="E13" s="3" t="inlineStr">
        <is>
          <t>10%</t>
        </is>
      </c>
      <c r="F13" s="3" t="inlineStr">
        <is>
          <t>四半期</t>
        </is>
      </c>
    </row>
    <row r="14">
      <c r="A14" s="3" t="inlineStr">
        <is>
          <t>L3</t>
        </is>
      </c>
      <c r="B14" s="3" t="inlineStr">
        <is>
          <t>Makuake達成率</t>
        </is>
      </c>
      <c r="C14" s="3" t="inlineStr">
        <is>
          <t>CF達成率</t>
        </is>
      </c>
      <c r="D14" s="3" t="inlineStr">
        <is>
          <t>支援額 / 目標額</t>
        </is>
      </c>
      <c r="E14" s="3" t="inlineStr">
        <is>
          <t>70%以上</t>
        </is>
      </c>
      <c r="F14" s="3" t="inlineStr">
        <is>
          <t>Phase B</t>
        </is>
      </c>
    </row>
    <row r="15">
      <c r="A15" s="3" t="inlineStr">
        <is>
          <t>L3</t>
        </is>
      </c>
      <c r="B15" s="3" t="inlineStr">
        <is>
          <t>3本セット選択率</t>
        </is>
      </c>
      <c r="C15" s="3" t="inlineStr">
        <is>
          <t>セット購入比率</t>
        </is>
      </c>
      <c r="D15" s="3" t="inlineStr">
        <is>
          <t>セット購入数 / 総購入数</t>
        </is>
      </c>
      <c r="E15" s="3" t="inlineStr">
        <is>
          <t>20%</t>
        </is>
      </c>
      <c r="F15" s="3" t="inlineStr">
        <is>
          <t>月次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月次KPIトラッカー（12ヶ月）</t>
        </is>
      </c>
    </row>
    <row r="3">
      <c r="A3" s="2" t="inlineStr">
        <is>
          <t>KPI</t>
        </is>
      </c>
      <c r="B3" s="2" t="inlineStr">
        <is>
          <t>種別</t>
        </is>
      </c>
      <c r="C3" s="2" t="inlineStr">
        <is>
          <t>M1</t>
        </is>
      </c>
      <c r="D3" s="2" t="inlineStr">
        <is>
          <t>M2</t>
        </is>
      </c>
      <c r="E3" s="2" t="inlineStr">
        <is>
          <t>M3</t>
        </is>
      </c>
      <c r="F3" s="2" t="inlineStr">
        <is>
          <t>M4</t>
        </is>
      </c>
      <c r="G3" s="2" t="inlineStr">
        <is>
          <t>M5</t>
        </is>
      </c>
      <c r="H3" s="2" t="inlineStr">
        <is>
          <t>M6</t>
        </is>
      </c>
      <c r="I3" s="2" t="inlineStr">
        <is>
          <t>M7</t>
        </is>
      </c>
      <c r="J3" s="2" t="inlineStr">
        <is>
          <t>M8</t>
        </is>
      </c>
      <c r="K3" s="2" t="inlineStr">
        <is>
          <t>M9</t>
        </is>
      </c>
      <c r="L3" s="2" t="inlineStr">
        <is>
          <t>M10</t>
        </is>
      </c>
      <c r="M3" s="2" t="inlineStr">
        <is>
          <t>M11</t>
        </is>
      </c>
      <c r="N3" s="2" t="inlineStr">
        <is>
          <t>M12</t>
        </is>
      </c>
      <c r="O3" s="2" t="inlineStr">
        <is>
          <t>Year 1計</t>
        </is>
      </c>
    </row>
    <row r="4">
      <c r="A4" s="3" t="inlineStr">
        <is>
          <t>販売本数</t>
        </is>
      </c>
      <c r="B4" s="3" t="inlineStr">
        <is>
          <t>目標</t>
        </is>
      </c>
      <c r="C4" s="3" t="n">
        <v>0</v>
      </c>
      <c r="D4" s="3" t="n">
        <v>0</v>
      </c>
      <c r="E4" s="3" t="n">
        <v>5</v>
      </c>
      <c r="F4" s="3" t="n">
        <v>10</v>
      </c>
      <c r="G4" s="3" t="n">
        <v>5</v>
      </c>
      <c r="H4" s="3" t="n">
        <v>8</v>
      </c>
      <c r="I4" s="3" t="n">
        <v>8</v>
      </c>
      <c r="J4" s="3" t="n">
        <v>10</v>
      </c>
      <c r="K4" s="3" t="n">
        <v>10</v>
      </c>
      <c r="L4" s="3" t="n">
        <v>10</v>
      </c>
      <c r="M4" s="3" t="n">
        <v>10</v>
      </c>
      <c r="N4" s="3" t="n">
        <v>9</v>
      </c>
      <c r="O4" s="3">
        <f>SUM(C4:N4)</f>
        <v/>
      </c>
    </row>
    <row r="5">
      <c r="A5" s="4" t="inlineStr">
        <is>
          <t>販売本数</t>
        </is>
      </c>
      <c r="B5" s="4" t="inlineStr">
        <is>
          <t>実績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>
        <f>SUM(C5:N5)</f>
        <v/>
      </c>
    </row>
    <row r="6">
      <c r="A6" s="3" t="inlineStr">
        <is>
          <t>販売本数</t>
        </is>
      </c>
      <c r="B6" s="3" t="inlineStr">
        <is>
          <t>達成率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>
        <f>IF(O4=0,"",O5/O4)</f>
        <v/>
      </c>
    </row>
    <row r="7">
      <c r="A7" s="3" t="inlineStr">
        <is>
          <t>売上（万円）</t>
        </is>
      </c>
      <c r="B7" s="3" t="inlineStr">
        <is>
          <t>目標</t>
        </is>
      </c>
      <c r="C7" s="3" t="n">
        <v>0</v>
      </c>
      <c r="D7" s="3" t="n">
        <v>0</v>
      </c>
      <c r="E7" s="3" t="n">
        <v>6</v>
      </c>
      <c r="F7" s="3" t="n">
        <v>12</v>
      </c>
      <c r="G7" s="3" t="n">
        <v>6</v>
      </c>
      <c r="H7" s="3" t="n">
        <v>10</v>
      </c>
      <c r="I7" s="3" t="n">
        <v>10</v>
      </c>
      <c r="J7" s="3" t="n">
        <v>12</v>
      </c>
      <c r="K7" s="3" t="n">
        <v>12</v>
      </c>
      <c r="L7" s="3" t="n">
        <v>12</v>
      </c>
      <c r="M7" s="3" t="n">
        <v>12</v>
      </c>
      <c r="N7" s="3" t="n">
        <v>11</v>
      </c>
      <c r="O7" s="3">
        <f>SUM(C7:N7)</f>
        <v/>
      </c>
    </row>
    <row r="8">
      <c r="A8" s="4" t="inlineStr">
        <is>
          <t>売上（万円）</t>
        </is>
      </c>
      <c r="B8" s="4" t="inlineStr">
        <is>
          <t>実績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>
        <f>SUM(C8:N8)</f>
        <v/>
      </c>
    </row>
    <row r="9">
      <c r="A9" s="3" t="inlineStr">
        <is>
          <t>売上（万円）</t>
        </is>
      </c>
      <c r="B9" s="3" t="inlineStr">
        <is>
          <t>達成率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>
        <f>IF(O7=0,"",O8/O7)</f>
        <v/>
      </c>
    </row>
    <row r="10">
      <c r="A10" s="3" t="inlineStr">
        <is>
          <t>CAC（円）</t>
        </is>
      </c>
      <c r="B10" s="3" t="inlineStr">
        <is>
          <t>目標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n">
        <v>4000</v>
      </c>
      <c r="H10" s="3" t="n">
        <v>3500</v>
      </c>
      <c r="I10" s="3" t="n">
        <v>3000</v>
      </c>
      <c r="J10" s="3" t="n">
        <v>2500</v>
      </c>
      <c r="K10" s="3" t="n">
        <v>2500</v>
      </c>
      <c r="L10" s="3" t="n">
        <v>2500</v>
      </c>
      <c r="M10" s="3" t="n">
        <v>2500</v>
      </c>
      <c r="N10" s="3" t="n">
        <v>2500</v>
      </c>
      <c r="O10" s="3" t="inlineStr">
        <is>
          <t>-</t>
        </is>
      </c>
    </row>
    <row r="11">
      <c r="A11" s="4" t="inlineStr">
        <is>
          <t>CAC（円）</t>
        </is>
      </c>
      <c r="B11" s="4" t="inlineStr">
        <is>
          <t>実績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>
        <is>
          <t>-</t>
        </is>
      </c>
    </row>
    <row r="12">
      <c r="A12" s="3" t="inlineStr">
        <is>
          <t>CVR（%）</t>
        </is>
      </c>
      <c r="B12" s="3" t="inlineStr">
        <is>
          <t>目標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n">
        <v>1</v>
      </c>
      <c r="H12" s="3" t="n">
        <v>1.2</v>
      </c>
      <c r="I12" s="3" t="n">
        <v>1.5</v>
      </c>
      <c r="J12" s="3" t="n">
        <v>1.8</v>
      </c>
      <c r="K12" s="3" t="n">
        <v>2</v>
      </c>
      <c r="L12" s="3" t="n">
        <v>2</v>
      </c>
      <c r="M12" s="3" t="n">
        <v>2</v>
      </c>
      <c r="N12" s="3" t="n">
        <v>2</v>
      </c>
      <c r="O12" s="3" t="inlineStr">
        <is>
          <t>-</t>
        </is>
      </c>
    </row>
    <row r="13">
      <c r="A13" s="4" t="inlineStr">
        <is>
          <t>CVR（%）</t>
        </is>
      </c>
      <c r="B13" s="4" t="inlineStr">
        <is>
          <t>実績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>
        <is>
          <t>-</t>
        </is>
      </c>
    </row>
    <row r="14">
      <c r="A14" s="3" t="inlineStr">
        <is>
          <t>Instagramフォロワー</t>
        </is>
      </c>
      <c r="B14" s="3" t="inlineStr">
        <is>
          <t>目標</t>
        </is>
      </c>
      <c r="C14" s="3" t="n">
        <v>20</v>
      </c>
      <c r="D14" s="3" t="n">
        <v>50</v>
      </c>
      <c r="E14" s="3" t="n">
        <v>100</v>
      </c>
      <c r="F14" s="3" t="n">
        <v>200</v>
      </c>
      <c r="G14" s="3" t="n">
        <v>300</v>
      </c>
      <c r="H14" s="3" t="n">
        <v>400</v>
      </c>
      <c r="I14" s="3" t="n">
        <v>500</v>
      </c>
      <c r="J14" s="3" t="n">
        <v>600</v>
      </c>
      <c r="K14" s="3" t="n">
        <v>700</v>
      </c>
      <c r="L14" s="3" t="n">
        <v>800</v>
      </c>
      <c r="M14" s="3" t="n">
        <v>900</v>
      </c>
      <c r="N14" s="3" t="n">
        <v>1000</v>
      </c>
      <c r="O14" s="3" t="n">
        <v>1000</v>
      </c>
    </row>
    <row r="15">
      <c r="A15" s="4" t="inlineStr">
        <is>
          <t>Instagramフォロワー</t>
        </is>
      </c>
      <c r="B15" s="4" t="inlineStr">
        <is>
          <t>実績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3" t="inlineStr">
        <is>
          <t>LINE登録者</t>
        </is>
      </c>
      <c r="B16" s="3" t="inlineStr">
        <is>
          <t>目標</t>
        </is>
      </c>
      <c r="C16" s="3" t="n">
        <v>10</v>
      </c>
      <c r="D16" s="3" t="n">
        <v>20</v>
      </c>
      <c r="E16" s="3" t="n">
        <v>50</v>
      </c>
      <c r="F16" s="3" t="n">
        <v>80</v>
      </c>
      <c r="G16" s="3" t="n">
        <v>100</v>
      </c>
      <c r="H16" s="3" t="n">
        <v>150</v>
      </c>
      <c r="I16" s="3" t="n">
        <v>200</v>
      </c>
      <c r="J16" s="3" t="n">
        <v>250</v>
      </c>
      <c r="K16" s="3" t="n">
        <v>300</v>
      </c>
      <c r="L16" s="3" t="n">
        <v>350</v>
      </c>
      <c r="M16" s="3" t="n">
        <v>400</v>
      </c>
      <c r="N16" s="3" t="n">
        <v>500</v>
      </c>
      <c r="O16" s="3" t="n">
        <v>500</v>
      </c>
    </row>
    <row r="17">
      <c r="A17" s="4" t="inlineStr">
        <is>
          <t>LINE登録者</t>
        </is>
      </c>
      <c r="B17" s="4" t="inlineStr">
        <is>
          <t>実績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2026-02-12T07:13:47Z</dcterms:created>
  <dcterms:modified xsi:type="dcterms:W3CDTF">2026-02-12T07:13:47Z</dcterms:modified>
</cp:coreProperties>
</file>