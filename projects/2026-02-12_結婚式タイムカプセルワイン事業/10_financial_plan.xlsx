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PL" sheetId="1" state="visible" r:id="rId1"/>
    <sheet name="キャッシュフロー" sheetId="2" state="visible" r:id="rId2"/>
    <sheet name="ユニットエコノミクス" sheetId="3" state="visible" r:id="rId3"/>
    <sheet name="予算管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FF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月次P/L（12ヶ月）: 結婚式タイムカプセルワイン事業</t>
        </is>
      </c>
    </row>
    <row r="2">
      <c r="A2" s="2" t="inlineStr">
        <is>
          <t>※青文字: ユーザー入力値、黒文字: 数式計算値</t>
        </is>
      </c>
    </row>
    <row r="4">
      <c r="A4" s="3" t="inlineStr">
        <is>
          <t>項目</t>
        </is>
      </c>
      <c r="B4" s="3" t="inlineStr">
        <is>
          <t>種別</t>
        </is>
      </c>
      <c r="C4" s="3" t="inlineStr">
        <is>
          <t>M1</t>
        </is>
      </c>
      <c r="D4" s="3" t="inlineStr">
        <is>
          <t>M2</t>
        </is>
      </c>
      <c r="E4" s="3" t="inlineStr">
        <is>
          <t>M3</t>
        </is>
      </c>
      <c r="F4" s="3" t="inlineStr">
        <is>
          <t>M4</t>
        </is>
      </c>
      <c r="G4" s="3" t="inlineStr">
        <is>
          <t>M5</t>
        </is>
      </c>
      <c r="H4" s="3" t="inlineStr">
        <is>
          <t>M6</t>
        </is>
      </c>
      <c r="I4" s="3" t="inlineStr">
        <is>
          <t>M7</t>
        </is>
      </c>
      <c r="J4" s="3" t="inlineStr">
        <is>
          <t>M8</t>
        </is>
      </c>
      <c r="K4" s="3" t="inlineStr">
        <is>
          <t>M9</t>
        </is>
      </c>
      <c r="L4" s="3" t="inlineStr">
        <is>
          <t>M10</t>
        </is>
      </c>
      <c r="M4" s="3" t="inlineStr">
        <is>
          <t>M11</t>
        </is>
      </c>
      <c r="N4" s="3" t="inlineStr">
        <is>
          <t>M12</t>
        </is>
      </c>
      <c r="O4" s="3" t="inlineStr">
        <is>
          <t>Year 1計</t>
        </is>
      </c>
    </row>
    <row r="5">
      <c r="A5" s="4" t="inlineStr">
        <is>
          <t>販売本数</t>
        </is>
      </c>
      <c r="B5" s="5" t="inlineStr">
        <is>
          <t>入力</t>
        </is>
      </c>
      <c r="C5" s="6" t="n">
        <v>0</v>
      </c>
      <c r="D5" s="6" t="n">
        <v>0</v>
      </c>
      <c r="E5" s="6" t="n">
        <v>5</v>
      </c>
      <c r="F5" s="6" t="n">
        <v>10</v>
      </c>
      <c r="G5" s="6" t="n">
        <v>5</v>
      </c>
      <c r="H5" s="6" t="n">
        <v>8</v>
      </c>
      <c r="I5" s="6" t="n">
        <v>8</v>
      </c>
      <c r="J5" s="6" t="n">
        <v>10</v>
      </c>
      <c r="K5" s="6" t="n">
        <v>10</v>
      </c>
      <c r="L5" s="6" t="n">
        <v>10</v>
      </c>
      <c r="M5" s="6" t="n">
        <v>10</v>
      </c>
      <c r="N5" s="6" t="n">
        <v>9</v>
      </c>
      <c r="O5" s="5">
        <f>SUM(C5:N5)</f>
        <v/>
      </c>
    </row>
    <row r="6">
      <c r="A6" s="4" t="inlineStr">
        <is>
          <t>平均単価（円）</t>
        </is>
      </c>
      <c r="B6" s="5" t="inlineStr">
        <is>
          <t>入力</t>
        </is>
      </c>
      <c r="C6" s="6" t="n">
        <v>12000</v>
      </c>
      <c r="D6" s="6" t="n">
        <v>12000</v>
      </c>
      <c r="E6" s="6" t="n">
        <v>10800</v>
      </c>
      <c r="F6" s="6" t="n">
        <v>10800</v>
      </c>
      <c r="G6" s="6" t="n">
        <v>12000</v>
      </c>
      <c r="H6" s="6" t="n">
        <v>12000</v>
      </c>
      <c r="I6" s="6" t="n">
        <v>12000</v>
      </c>
      <c r="J6" s="6" t="n">
        <v>12000</v>
      </c>
      <c r="K6" s="6" t="n">
        <v>12000</v>
      </c>
      <c r="L6" s="6" t="n">
        <v>12000</v>
      </c>
      <c r="M6" s="6" t="n">
        <v>12000</v>
      </c>
      <c r="N6" s="6" t="n">
        <v>12000</v>
      </c>
      <c r="O6" s="5">
        <f>SUM(C6:N6)</f>
        <v/>
      </c>
    </row>
    <row r="7">
      <c r="A7" s="4" t="inlineStr">
        <is>
          <t>売上</t>
        </is>
      </c>
      <c r="B7" s="5" t="inlineStr">
        <is>
          <t>計算</t>
        </is>
      </c>
      <c r="C7" s="5">
        <f>C5*C6</f>
        <v/>
      </c>
      <c r="D7" s="5">
        <f>D5*D6</f>
        <v/>
      </c>
      <c r="E7" s="5">
        <f>E5*E6</f>
        <v/>
      </c>
      <c r="F7" s="5">
        <f>F5*F6</f>
        <v/>
      </c>
      <c r="G7" s="5">
        <f>G5*G6</f>
        <v/>
      </c>
      <c r="H7" s="5">
        <f>H5*H6</f>
        <v/>
      </c>
      <c r="I7" s="5">
        <f>I5*I6</f>
        <v/>
      </c>
      <c r="J7" s="5">
        <f>J5*J6</f>
        <v/>
      </c>
      <c r="K7" s="5">
        <f>K5*K6</f>
        <v/>
      </c>
      <c r="L7" s="5">
        <f>L5*L6</f>
        <v/>
      </c>
      <c r="M7" s="5">
        <f>M5*M6</f>
        <v/>
      </c>
      <c r="N7" s="5">
        <f>N5*N6</f>
        <v/>
      </c>
      <c r="O7" s="5">
        <f>SUM(C7:N7)</f>
        <v/>
      </c>
    </row>
    <row r="8">
      <c r="A8" s="4" t="inlineStr">
        <is>
          <t>原価（ワイン・資材・送料）</t>
        </is>
      </c>
      <c r="B8" s="5" t="inlineStr">
        <is>
          <t>計算</t>
        </is>
      </c>
      <c r="C8" s="5">
        <f>C5*5000</f>
        <v/>
      </c>
      <c r="D8" s="5">
        <f>D5*5000</f>
        <v/>
      </c>
      <c r="E8" s="5">
        <f>E5*5000</f>
        <v/>
      </c>
      <c r="F8" s="5">
        <f>F5*5000</f>
        <v/>
      </c>
      <c r="G8" s="5">
        <f>G5*5000</f>
        <v/>
      </c>
      <c r="H8" s="5">
        <f>H5*5000</f>
        <v/>
      </c>
      <c r="I8" s="5">
        <f>I5*5000</f>
        <v/>
      </c>
      <c r="J8" s="5">
        <f>J5*5000</f>
        <v/>
      </c>
      <c r="K8" s="5">
        <f>K5*5000</f>
        <v/>
      </c>
      <c r="L8" s="5">
        <f>L5*5000</f>
        <v/>
      </c>
      <c r="M8" s="5">
        <f>M5*5000</f>
        <v/>
      </c>
      <c r="N8" s="5">
        <f>N5*5000</f>
        <v/>
      </c>
      <c r="O8" s="5">
        <f>SUM(C8:N8)</f>
        <v/>
      </c>
    </row>
    <row r="9">
      <c r="A9" s="4" t="inlineStr">
        <is>
          <t>決済/CF手数料</t>
        </is>
      </c>
      <c r="B9" s="5" t="inlineStr">
        <is>
          <t>計算</t>
        </is>
      </c>
      <c r="C9" s="5">
        <f>C7*0.04</f>
        <v/>
      </c>
      <c r="D9" s="5">
        <f>D7*0.04</f>
        <v/>
      </c>
      <c r="E9" s="5">
        <f>E7*0.20</f>
        <v/>
      </c>
      <c r="F9" s="5">
        <f>F7*0.20</f>
        <v/>
      </c>
      <c r="G9" s="5">
        <f>G7*0.04</f>
        <v/>
      </c>
      <c r="H9" s="5">
        <f>H7*0.04</f>
        <v/>
      </c>
      <c r="I9" s="5">
        <f>I7*0.04</f>
        <v/>
      </c>
      <c r="J9" s="5">
        <f>J7*0.04</f>
        <v/>
      </c>
      <c r="K9" s="5">
        <f>K7*0.04</f>
        <v/>
      </c>
      <c r="L9" s="5">
        <f>L7*0.04</f>
        <v/>
      </c>
      <c r="M9" s="5">
        <f>M7*0.04</f>
        <v/>
      </c>
      <c r="N9" s="5">
        <f>N7*0.04</f>
        <v/>
      </c>
      <c r="O9" s="5">
        <f>SUM(C9:N9)</f>
        <v/>
      </c>
    </row>
    <row r="10">
      <c r="A10" s="4" t="inlineStr">
        <is>
          <t>粗利</t>
        </is>
      </c>
      <c r="B10" s="5" t="inlineStr">
        <is>
          <t>計算</t>
        </is>
      </c>
      <c r="C10" s="5">
        <f>C7-C8-C9</f>
        <v/>
      </c>
      <c r="D10" s="5">
        <f>D7-D8-D9</f>
        <v/>
      </c>
      <c r="E10" s="5">
        <f>E7-E8-E9</f>
        <v/>
      </c>
      <c r="F10" s="5">
        <f>F7-F8-F9</f>
        <v/>
      </c>
      <c r="G10" s="5">
        <f>G7-G8-G9</f>
        <v/>
      </c>
      <c r="H10" s="5">
        <f>H7-H8-H9</f>
        <v/>
      </c>
      <c r="I10" s="5">
        <f>I7-I8-I9</f>
        <v/>
      </c>
      <c r="J10" s="5">
        <f>J7-J8-J9</f>
        <v/>
      </c>
      <c r="K10" s="5">
        <f>K7-K8-K9</f>
        <v/>
      </c>
      <c r="L10" s="5">
        <f>L7-L8-L9</f>
        <v/>
      </c>
      <c r="M10" s="5">
        <f>M7-M8-M9</f>
        <v/>
      </c>
      <c r="N10" s="5">
        <f>N7-N8-N9</f>
        <v/>
      </c>
      <c r="O10" s="5">
        <f>SUM(C10:N10)</f>
        <v/>
      </c>
    </row>
    <row r="11">
      <c r="A11" s="4" t="inlineStr">
        <is>
          <t>粗利率</t>
        </is>
      </c>
      <c r="B11" s="5" t="inlineStr">
        <is>
          <t>計算</t>
        </is>
      </c>
      <c r="C11" s="7">
        <f>IF(C7=0,"",C10/C7)</f>
        <v/>
      </c>
      <c r="D11" s="7">
        <f>IF(D7=0,"",D10/D7)</f>
        <v/>
      </c>
      <c r="E11" s="7">
        <f>IF(E7=0,"",E10/E7)</f>
        <v/>
      </c>
      <c r="F11" s="7">
        <f>IF(F7=0,"",F10/F7)</f>
        <v/>
      </c>
      <c r="G11" s="7">
        <f>IF(G7=0,"",G10/G7)</f>
        <v/>
      </c>
      <c r="H11" s="7">
        <f>IF(H7=0,"",H10/H7)</f>
        <v/>
      </c>
      <c r="I11" s="7">
        <f>IF(I7=0,"",I10/I7)</f>
        <v/>
      </c>
      <c r="J11" s="7">
        <f>IF(J7=0,"",J10/J7)</f>
        <v/>
      </c>
      <c r="K11" s="7">
        <f>IF(K7=0,"",K10/K7)</f>
        <v/>
      </c>
      <c r="L11" s="7">
        <f>IF(L7=0,"",L10/L7)</f>
        <v/>
      </c>
      <c r="M11" s="7">
        <f>IF(M7=0,"",M10/M7)</f>
        <v/>
      </c>
      <c r="N11" s="7">
        <f>IF(N7=0,"",N10/N7)</f>
        <v/>
      </c>
      <c r="O11" s="7" t="inlineStr"/>
    </row>
    <row r="12">
      <c r="A12" s="4" t="inlineStr">
        <is>
          <t>固定費（EC/SaaS/通信）</t>
        </is>
      </c>
      <c r="B12" s="5" t="inlineStr">
        <is>
          <t>入力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15000</v>
      </c>
      <c r="H12" s="6" t="n">
        <v>15000</v>
      </c>
      <c r="I12" s="6" t="n">
        <v>15000</v>
      </c>
      <c r="J12" s="6" t="n">
        <v>15000</v>
      </c>
      <c r="K12" s="6" t="n">
        <v>15000</v>
      </c>
      <c r="L12" s="6" t="n">
        <v>15000</v>
      </c>
      <c r="M12" s="6" t="n">
        <v>15000</v>
      </c>
      <c r="N12" s="6" t="n">
        <v>15000</v>
      </c>
      <c r="O12" s="5">
        <f>SUM(C12:N12)</f>
        <v/>
      </c>
    </row>
    <row r="13">
      <c r="A13" s="4" t="inlineStr">
        <is>
          <t>広告費</t>
        </is>
      </c>
      <c r="B13" s="5" t="inlineStr">
        <is>
          <t>入力</t>
        </is>
      </c>
      <c r="C13" s="6" t="n">
        <v>5000</v>
      </c>
      <c r="D13" s="6" t="n">
        <v>5000</v>
      </c>
      <c r="E13" s="6" t="n">
        <v>20000</v>
      </c>
      <c r="F13" s="6" t="n">
        <v>15000</v>
      </c>
      <c r="G13" s="6" t="n">
        <v>20000</v>
      </c>
      <c r="H13" s="6" t="n">
        <v>25000</v>
      </c>
      <c r="I13" s="6" t="n">
        <v>25000</v>
      </c>
      <c r="J13" s="6" t="n">
        <v>25000</v>
      </c>
      <c r="K13" s="6" t="n">
        <v>25000</v>
      </c>
      <c r="L13" s="6" t="n">
        <v>25000</v>
      </c>
      <c r="M13" s="6" t="n">
        <v>25000</v>
      </c>
      <c r="N13" s="6" t="n">
        <v>25000</v>
      </c>
      <c r="O13" s="5">
        <f>SUM(C13:N13)</f>
        <v/>
      </c>
    </row>
    <row r="14">
      <c r="A14" s="4" t="inlineStr">
        <is>
          <t>その他販管費</t>
        </is>
      </c>
      <c r="B14" s="5" t="inlineStr">
        <is>
          <t>入力</t>
        </is>
      </c>
      <c r="C14" s="6" t="n">
        <v>10000</v>
      </c>
      <c r="D14" s="6" t="n">
        <v>10000</v>
      </c>
      <c r="E14" s="6" t="n">
        <v>10000</v>
      </c>
      <c r="F14" s="6" t="n">
        <v>10000</v>
      </c>
      <c r="G14" s="6" t="n">
        <v>5000</v>
      </c>
      <c r="H14" s="6" t="n">
        <v>5000</v>
      </c>
      <c r="I14" s="6" t="n">
        <v>5000</v>
      </c>
      <c r="J14" s="6" t="n">
        <v>5000</v>
      </c>
      <c r="K14" s="6" t="n">
        <v>5000</v>
      </c>
      <c r="L14" s="6" t="n">
        <v>5000</v>
      </c>
      <c r="M14" s="6" t="n">
        <v>5000</v>
      </c>
      <c r="N14" s="6" t="n">
        <v>5000</v>
      </c>
      <c r="O14" s="5">
        <f>SUM(C14:N14)</f>
        <v/>
      </c>
    </row>
    <row r="15">
      <c r="A15" s="4" t="inlineStr">
        <is>
          <t>営業利益</t>
        </is>
      </c>
      <c r="B15" s="5" t="inlineStr">
        <is>
          <t>計算</t>
        </is>
      </c>
      <c r="C15" s="5">
        <f>C10-C12-C13-C14</f>
        <v/>
      </c>
      <c r="D15" s="5">
        <f>D10-D12-D13-D14</f>
        <v/>
      </c>
      <c r="E15" s="5">
        <f>E10-E12-E13-E14</f>
        <v/>
      </c>
      <c r="F15" s="5">
        <f>F10-F12-F13-F14</f>
        <v/>
      </c>
      <c r="G15" s="5">
        <f>G10-G12-G13-G14</f>
        <v/>
      </c>
      <c r="H15" s="5">
        <f>H10-H12-H13-H14</f>
        <v/>
      </c>
      <c r="I15" s="5">
        <f>I10-I12-I13-I14</f>
        <v/>
      </c>
      <c r="J15" s="5">
        <f>J10-J12-J13-J14</f>
        <v/>
      </c>
      <c r="K15" s="5">
        <f>K10-K12-K13-K14</f>
        <v/>
      </c>
      <c r="L15" s="5">
        <f>L10-L12-L13-L14</f>
        <v/>
      </c>
      <c r="M15" s="5">
        <f>M10-M12-M13-M14</f>
        <v/>
      </c>
      <c r="N15" s="5">
        <f>N10-N12-N13-N14</f>
        <v/>
      </c>
      <c r="O15" s="5">
        <f>SUM(C15:N15)</f>
        <v/>
      </c>
    </row>
    <row r="16">
      <c r="A16" s="4" t="inlineStr">
        <is>
          <t>営業利益率</t>
        </is>
      </c>
      <c r="B16" s="5" t="inlineStr">
        <is>
          <t>計算</t>
        </is>
      </c>
      <c r="C16" s="7">
        <f>IF(C7=0,"",C15/C7)</f>
        <v/>
      </c>
      <c r="D16" s="7">
        <f>IF(D7=0,"",D15/D7)</f>
        <v/>
      </c>
      <c r="E16" s="7">
        <f>IF(E7=0,"",E15/E7)</f>
        <v/>
      </c>
      <c r="F16" s="7">
        <f>IF(F7=0,"",F15/F7)</f>
        <v/>
      </c>
      <c r="G16" s="7">
        <f>IF(G7=0,"",G15/G7)</f>
        <v/>
      </c>
      <c r="H16" s="7">
        <f>IF(H7=0,"",H15/H7)</f>
        <v/>
      </c>
      <c r="I16" s="7">
        <f>IF(I7=0,"",I15/I7)</f>
        <v/>
      </c>
      <c r="J16" s="7">
        <f>IF(J7=0,"",J15/J7)</f>
        <v/>
      </c>
      <c r="K16" s="7">
        <f>IF(K7=0,"",K15/K7)</f>
        <v/>
      </c>
      <c r="L16" s="7">
        <f>IF(L7=0,"",L15/L7)</f>
        <v/>
      </c>
      <c r="M16" s="7">
        <f>IF(M7=0,"",M15/M7)</f>
        <v/>
      </c>
      <c r="N16" s="7">
        <f>IF(N7=0,"",N15/N7)</f>
        <v/>
      </c>
      <c r="O16" s="7" t="inlineStr"/>
    </row>
    <row r="17">
      <c r="A17" s="4" t="inlineStr">
        <is>
          <t>累計営業利益</t>
        </is>
      </c>
      <c r="B17" s="5" t="inlineStr">
        <is>
          <t>計算</t>
        </is>
      </c>
      <c r="C17" s="5">
        <f>C15</f>
        <v/>
      </c>
      <c r="D17" s="5">
        <f>C17+D15</f>
        <v/>
      </c>
      <c r="E17" s="5">
        <f>D17+E15</f>
        <v/>
      </c>
      <c r="F17" s="5">
        <f>E17+F15</f>
        <v/>
      </c>
      <c r="G17" s="5">
        <f>F17+G15</f>
        <v/>
      </c>
      <c r="H17" s="5">
        <f>G17+H15</f>
        <v/>
      </c>
      <c r="I17" s="5">
        <f>H17+I15</f>
        <v/>
      </c>
      <c r="J17" s="5">
        <f>I17+J15</f>
        <v/>
      </c>
      <c r="K17" s="5">
        <f>J17+K15</f>
        <v/>
      </c>
      <c r="L17" s="5">
        <f>K17+L15</f>
        <v/>
      </c>
      <c r="M17" s="5">
        <f>L17+M15</f>
        <v/>
      </c>
      <c r="N17" s="5">
        <f>M17+N15</f>
        <v/>
      </c>
      <c r="O17" s="5">
        <f>SUM(C17:N17)</f>
        <v/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キャッシュフロー計算書（12ヶ月）</t>
        </is>
      </c>
    </row>
    <row r="3">
      <c r="A3" s="3" t="inlineStr">
        <is>
          <t>項目</t>
        </is>
      </c>
      <c r="B3" s="3" t="inlineStr">
        <is>
          <t>種別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M4</t>
        </is>
      </c>
      <c r="G3" s="3" t="inlineStr">
        <is>
          <t>M5</t>
        </is>
      </c>
      <c r="H3" s="3" t="inlineStr">
        <is>
          <t>M6</t>
        </is>
      </c>
      <c r="I3" s="3" t="inlineStr">
        <is>
          <t>M7</t>
        </is>
      </c>
      <c r="J3" s="3" t="inlineStr">
        <is>
          <t>M8</t>
        </is>
      </c>
      <c r="K3" s="3" t="inlineStr">
        <is>
          <t>M9</t>
        </is>
      </c>
      <c r="L3" s="3" t="inlineStr">
        <is>
          <t>M10</t>
        </is>
      </c>
      <c r="M3" s="3" t="inlineStr">
        <is>
          <t>M11</t>
        </is>
      </c>
      <c r="N3" s="3" t="inlineStr">
        <is>
          <t>M12</t>
        </is>
      </c>
      <c r="O3" s="3" t="inlineStr">
        <is>
          <t>Year 1計</t>
        </is>
      </c>
    </row>
    <row r="4">
      <c r="A4" s="5" t="inlineStr">
        <is>
          <t>期首現金残高</t>
        </is>
      </c>
      <c r="B4" s="5" t="inlineStr">
        <is>
          <t>計算</t>
        </is>
      </c>
      <c r="C4" s="5" t="n">
        <v>200000</v>
      </c>
      <c r="D4" s="5">
        <f>C6</f>
        <v/>
      </c>
      <c r="E4" s="5">
        <f>D6</f>
        <v/>
      </c>
      <c r="F4" s="5">
        <f>E6</f>
        <v/>
      </c>
      <c r="G4" s="5">
        <f>F6</f>
        <v/>
      </c>
      <c r="H4" s="5">
        <f>G6</f>
        <v/>
      </c>
      <c r="I4" s="5">
        <f>H6</f>
        <v/>
      </c>
      <c r="J4" s="5">
        <f>I6</f>
        <v/>
      </c>
      <c r="K4" s="5">
        <f>J6</f>
        <v/>
      </c>
      <c r="L4" s="5">
        <f>K6</f>
        <v/>
      </c>
      <c r="M4" s="5">
        <f>L6</f>
        <v/>
      </c>
      <c r="N4" s="5">
        <f>M6</f>
        <v/>
      </c>
      <c r="O4" s="5">
        <f>N4</f>
        <v/>
      </c>
    </row>
    <row r="5">
      <c r="A5" s="5" t="inlineStr">
        <is>
          <t>営業CF（営業利益）</t>
        </is>
      </c>
      <c r="B5" s="5" t="inlineStr">
        <is>
          <t>参照</t>
        </is>
      </c>
      <c r="C5" s="5">
        <f>'月次PL'!C15</f>
        <v/>
      </c>
      <c r="D5" s="5">
        <f>'月次PL'!D15</f>
        <v/>
      </c>
      <c r="E5" s="5">
        <f>'月次PL'!E15</f>
        <v/>
      </c>
      <c r="F5" s="5">
        <f>'月次PL'!F15</f>
        <v/>
      </c>
      <c r="G5" s="5">
        <f>'月次PL'!G15</f>
        <v/>
      </c>
      <c r="H5" s="5">
        <f>'月次PL'!H15</f>
        <v/>
      </c>
      <c r="I5" s="5">
        <f>'月次PL'!I15</f>
        <v/>
      </c>
      <c r="J5" s="5">
        <f>'月次PL'!J15</f>
        <v/>
      </c>
      <c r="K5" s="5">
        <f>'月次PL'!K15</f>
        <v/>
      </c>
      <c r="L5" s="5">
        <f>'月次PL'!L15</f>
        <v/>
      </c>
      <c r="M5" s="5">
        <f>'月次PL'!M15</f>
        <v/>
      </c>
      <c r="N5" s="5">
        <f>'月次PL'!N15</f>
        <v/>
      </c>
      <c r="O5" s="5">
        <f>SUM(C5:N5)</f>
        <v/>
      </c>
    </row>
    <row r="6">
      <c r="A6" s="5" t="inlineStr">
        <is>
          <t>期末現金残高</t>
        </is>
      </c>
      <c r="B6" s="5" t="inlineStr">
        <is>
          <t>計算</t>
        </is>
      </c>
      <c r="C6" s="5">
        <f>C4+C5</f>
        <v/>
      </c>
      <c r="D6" s="5">
        <f>D4+D5</f>
        <v/>
      </c>
      <c r="E6" s="5">
        <f>E4+E5</f>
        <v/>
      </c>
      <c r="F6" s="5">
        <f>F4+F5</f>
        <v/>
      </c>
      <c r="G6" s="5">
        <f>G4+G5</f>
        <v/>
      </c>
      <c r="H6" s="5">
        <f>H4+H5</f>
        <v/>
      </c>
      <c r="I6" s="5">
        <f>I4+I5</f>
        <v/>
      </c>
      <c r="J6" s="5">
        <f>J4+J5</f>
        <v/>
      </c>
      <c r="K6" s="5">
        <f>K4+K5</f>
        <v/>
      </c>
      <c r="L6" s="5">
        <f>L4+L5</f>
        <v/>
      </c>
      <c r="M6" s="5">
        <f>M4+M5</f>
        <v/>
      </c>
      <c r="N6" s="5">
        <f>N4+N5</f>
        <v/>
      </c>
      <c r="O6" s="5">
        <f>N6</f>
        <v/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ユニットエコノミクス追跡</t>
        </is>
      </c>
    </row>
    <row r="3">
      <c r="A3" s="3" t="inlineStr">
        <is>
          <t>指標</t>
        </is>
      </c>
      <c r="B3" s="3" t="inlineStr">
        <is>
          <t>計算式</t>
        </is>
      </c>
      <c r="C3" s="3" t="inlineStr">
        <is>
          <t>目標値</t>
        </is>
      </c>
      <c r="D3" s="3" t="inlineStr">
        <is>
          <t>実績値</t>
        </is>
      </c>
      <c r="E3" s="3" t="inlineStr">
        <is>
          <t>評価</t>
        </is>
      </c>
    </row>
    <row r="4">
      <c r="A4" s="5" t="inlineStr">
        <is>
          <t>販売単価</t>
        </is>
      </c>
      <c r="B4" s="5" t="inlineStr">
        <is>
          <t>売上 / 販売本数</t>
        </is>
      </c>
      <c r="C4" s="5" t="inlineStr">
        <is>
          <t>12,000円</t>
        </is>
      </c>
      <c r="D4" s="6" t="inlineStr"/>
      <c r="E4" s="6" t="inlineStr"/>
    </row>
    <row r="5">
      <c r="A5" s="5" t="inlineStr">
        <is>
          <t>原価/本</t>
        </is>
      </c>
      <c r="B5" s="5" t="inlineStr">
        <is>
          <t>ワイン+ラベル+箱+送料+手数料</t>
        </is>
      </c>
      <c r="C5" s="5" t="inlineStr">
        <is>
          <t>5,000円</t>
        </is>
      </c>
      <c r="D5" s="6" t="inlineStr"/>
      <c r="E5" s="6" t="inlineStr"/>
    </row>
    <row r="6">
      <c r="A6" s="5" t="inlineStr">
        <is>
          <t>粗利/本</t>
        </is>
      </c>
      <c r="B6" s="5" t="inlineStr">
        <is>
          <t>販売単価 - 原価</t>
        </is>
      </c>
      <c r="C6" s="5" t="inlineStr">
        <is>
          <t>7,000円</t>
        </is>
      </c>
      <c r="D6" s="6" t="inlineStr"/>
      <c r="E6" s="6" t="inlineStr"/>
    </row>
    <row r="7">
      <c r="A7" s="5" t="inlineStr">
        <is>
          <t>粗利率</t>
        </is>
      </c>
      <c r="B7" s="5" t="inlineStr">
        <is>
          <t>粗利 / 売上</t>
        </is>
      </c>
      <c r="C7" s="5" t="inlineStr">
        <is>
          <t>58%</t>
        </is>
      </c>
      <c r="D7" s="6" t="inlineStr"/>
      <c r="E7" s="6" t="inlineStr"/>
    </row>
    <row r="8">
      <c r="A8" s="5" t="inlineStr">
        <is>
          <t>CAC</t>
        </is>
      </c>
      <c r="B8" s="5" t="inlineStr">
        <is>
          <t>広告費 / 新規顧客数</t>
        </is>
      </c>
      <c r="C8" s="5" t="inlineStr">
        <is>
          <t>2,500円</t>
        </is>
      </c>
      <c r="D8" s="6" t="inlineStr"/>
      <c r="E8" s="6" t="inlineStr"/>
    </row>
    <row r="9">
      <c r="A9" s="5" t="inlineStr">
        <is>
          <t>ARPU</t>
        </is>
      </c>
      <c r="B9" s="5" t="inlineStr">
        <is>
          <t>平均顧客単価</t>
        </is>
      </c>
      <c r="C9" s="5" t="inlineStr">
        <is>
          <t>15,000円</t>
        </is>
      </c>
      <c r="D9" s="6" t="inlineStr"/>
      <c r="E9" s="6" t="inlineStr"/>
    </row>
    <row r="10">
      <c r="A10" s="5" t="inlineStr">
        <is>
          <t>リピート率</t>
        </is>
      </c>
      <c r="B10" s="5" t="inlineStr">
        <is>
          <t>2回以上購入 / 全顧客</t>
        </is>
      </c>
      <c r="C10" s="5" t="inlineStr">
        <is>
          <t>15%</t>
        </is>
      </c>
      <c r="D10" s="6" t="inlineStr"/>
      <c r="E10" s="6" t="inlineStr"/>
    </row>
    <row r="11">
      <c r="A11" s="5" t="inlineStr">
        <is>
          <t>LTV</t>
        </is>
      </c>
      <c r="B11" s="5" t="inlineStr">
        <is>
          <t>ARPU × (1 + リピート率)</t>
        </is>
      </c>
      <c r="C11" s="5" t="inlineStr">
        <is>
          <t>18,750円</t>
        </is>
      </c>
      <c r="D11" s="6" t="inlineStr"/>
      <c r="E11" s="6" t="inlineStr"/>
    </row>
    <row r="12">
      <c r="A12" s="5" t="inlineStr">
        <is>
          <t>LTV/CAC</t>
        </is>
      </c>
      <c r="B12" s="5" t="inlineStr">
        <is>
          <t>LTV / CAC</t>
        </is>
      </c>
      <c r="C12" s="5" t="inlineStr">
        <is>
          <t>7.5倍</t>
        </is>
      </c>
      <c r="D12" s="6" t="inlineStr"/>
      <c r="E12" s="6" t="inlineStr"/>
    </row>
    <row r="13">
      <c r="A13" s="5" t="inlineStr">
        <is>
          <t>粗利/CAC</t>
        </is>
      </c>
      <c r="B13" s="5" t="inlineStr">
        <is>
          <t>粗利 / CAC</t>
        </is>
      </c>
      <c r="C13" s="5" t="inlineStr">
        <is>
          <t>2.8倍</t>
        </is>
      </c>
      <c r="D13" s="6" t="inlineStr"/>
      <c r="E13" s="6" t="inlineStr"/>
    </row>
    <row r="14">
      <c r="A14" s="5" t="inlineStr">
        <is>
          <t>回収期間</t>
        </is>
      </c>
      <c r="B14" s="5" t="inlineStr">
        <is>
          <t>-</t>
        </is>
      </c>
      <c r="C14" s="5" t="inlineStr">
        <is>
          <t>即時（先払い）</t>
        </is>
      </c>
      <c r="D14" s="6" t="inlineStr"/>
      <c r="E14" s="6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予算管理: フェーズ別予算 vs 実績</t>
        </is>
      </c>
    </row>
    <row r="3">
      <c r="A3" s="3" t="inlineStr">
        <is>
          <t>フェーズ</t>
        </is>
      </c>
      <c r="B3" s="3" t="inlineStr">
        <is>
          <t>カテゴリ</t>
        </is>
      </c>
      <c r="C3" s="3" t="inlineStr">
        <is>
          <t>予算</t>
        </is>
      </c>
      <c r="D3" s="3" t="inlineStr">
        <is>
          <t>実績</t>
        </is>
      </c>
      <c r="E3" s="3" t="inlineStr">
        <is>
          <t>差異</t>
        </is>
      </c>
      <c r="F3" s="3" t="inlineStr">
        <is>
          <t>消化率</t>
        </is>
      </c>
    </row>
    <row r="4">
      <c r="A4" s="5" t="inlineStr">
        <is>
          <t>Phase A（M1-2）</t>
        </is>
      </c>
      <c r="B4" s="5" t="inlineStr">
        <is>
          <t>免許申請費用</t>
        </is>
      </c>
      <c r="C4" s="5" t="n">
        <v>30000</v>
      </c>
      <c r="D4" s="6" t="inlineStr"/>
      <c r="E4" s="5">
        <f>C4-D4</f>
        <v/>
      </c>
      <c r="F4" s="8">
        <f>IF(C4=0,"",D4/C4)</f>
        <v/>
      </c>
    </row>
    <row r="5">
      <c r="A5" s="5" t="inlineStr">
        <is>
          <t>Phase A（M1-2）</t>
        </is>
      </c>
      <c r="B5" s="5" t="inlineStr">
        <is>
          <t>サンプル制作費</t>
        </is>
      </c>
      <c r="C5" s="5" t="n">
        <v>40000</v>
      </c>
      <c r="D5" s="6" t="inlineStr"/>
      <c r="E5" s="5">
        <f>C5-D5</f>
        <v/>
      </c>
      <c r="F5" s="8">
        <f>IF(C5=0,"",D5/C5)</f>
        <v/>
      </c>
    </row>
    <row r="6">
      <c r="A6" s="5" t="inlineStr">
        <is>
          <t>Phase A（M1-2）</t>
        </is>
      </c>
      <c r="B6" s="5" t="inlineStr">
        <is>
          <t>撮影・素材制作</t>
        </is>
      </c>
      <c r="C6" s="5" t="n">
        <v>20000</v>
      </c>
      <c r="D6" s="6" t="inlineStr"/>
      <c r="E6" s="5">
        <f>C6-D6</f>
        <v/>
      </c>
      <c r="F6" s="8">
        <f>IF(C6=0,"",D6/C6)</f>
        <v/>
      </c>
    </row>
    <row r="7">
      <c r="A7" s="5" t="inlineStr">
        <is>
          <t>Phase A（M1-2）</t>
        </is>
      </c>
      <c r="B7" s="5" t="inlineStr">
        <is>
          <t>予備費</t>
        </is>
      </c>
      <c r="C7" s="5" t="n">
        <v>10000</v>
      </c>
      <c r="D7" s="6" t="inlineStr"/>
      <c r="E7" s="5">
        <f>C7-D7</f>
        <v/>
      </c>
      <c r="F7" s="8">
        <f>IF(C7=0,"",D7/C7)</f>
        <v/>
      </c>
    </row>
    <row r="8">
      <c r="A8" s="9" t="inlineStr">
        <is>
          <t>Phase A 小計</t>
        </is>
      </c>
      <c r="B8" s="9" t="inlineStr"/>
      <c r="C8" s="9">
        <f>SUM(C4:C7)</f>
        <v/>
      </c>
      <c r="D8" s="10">
        <f>SUM(D4:D7)</f>
        <v/>
      </c>
      <c r="E8" s="9">
        <f>C8-D8</f>
        <v/>
      </c>
      <c r="F8" s="11">
        <f>IF(C8=0,"",D8/C8)</f>
        <v/>
      </c>
    </row>
    <row r="9">
      <c r="A9" s="5" t="inlineStr">
        <is>
          <t>Phase B（M3-4）</t>
        </is>
      </c>
      <c r="B9" s="5" t="inlineStr">
        <is>
          <t>広告・PR費</t>
        </is>
      </c>
      <c r="C9" s="5" t="n">
        <v>30000</v>
      </c>
      <c r="D9" s="6" t="inlineStr"/>
      <c r="E9" s="5">
        <f>C9-D9</f>
        <v/>
      </c>
      <c r="F9" s="8">
        <f>IF(C9=0,"",D9/C9)</f>
        <v/>
      </c>
    </row>
    <row r="10">
      <c r="A10" s="5" t="inlineStr">
        <is>
          <t>Phase B（M3-4）</t>
        </is>
      </c>
      <c r="B10" s="5" t="inlineStr">
        <is>
          <t>追加サンプル制作</t>
        </is>
      </c>
      <c r="C10" s="5" t="n">
        <v>20000</v>
      </c>
      <c r="D10" s="6" t="inlineStr"/>
      <c r="E10" s="5">
        <f>C10-D10</f>
        <v/>
      </c>
      <c r="F10" s="8">
        <f>IF(C10=0,"",D10/C10)</f>
        <v/>
      </c>
    </row>
    <row r="11">
      <c r="A11" s="5" t="inlineStr">
        <is>
          <t>Phase B（M3-4）</t>
        </is>
      </c>
      <c r="B11" s="5" t="inlineStr">
        <is>
          <t>予備費</t>
        </is>
      </c>
      <c r="C11" s="5" t="n">
        <v>20000</v>
      </c>
      <c r="D11" s="6" t="inlineStr"/>
      <c r="E11" s="5">
        <f>C11-D11</f>
        <v/>
      </c>
      <c r="F11" s="8">
        <f>IF(C11=0,"",D11/C11)</f>
        <v/>
      </c>
    </row>
    <row r="12">
      <c r="A12" s="9" t="inlineStr">
        <is>
          <t>Phase B 小計</t>
        </is>
      </c>
      <c r="B12" s="9" t="inlineStr"/>
      <c r="C12" s="9">
        <f>SUM(C9:C11)</f>
        <v/>
      </c>
      <c r="D12" s="10">
        <f>SUM(D9:D11)</f>
        <v/>
      </c>
      <c r="E12" s="9">
        <f>C12-D12</f>
        <v/>
      </c>
      <c r="F12" s="11">
        <f>IF(C12=0,"",D12/C12)</f>
        <v/>
      </c>
    </row>
    <row r="13">
      <c r="A13" s="5" t="inlineStr">
        <is>
          <t>Phase C（M5-12）</t>
        </is>
      </c>
      <c r="B13" s="5" t="inlineStr">
        <is>
          <t>EC基盤月額</t>
        </is>
      </c>
      <c r="C13" s="5" t="n">
        <v>32000</v>
      </c>
      <c r="D13" s="6" t="inlineStr"/>
      <c r="E13" s="5">
        <f>C13-D13</f>
        <v/>
      </c>
      <c r="F13" s="8">
        <f>IF(C13=0,"",D13/C13)</f>
        <v/>
      </c>
    </row>
    <row r="14">
      <c r="A14" s="5" t="inlineStr">
        <is>
          <t>Phase C（M5-12）</t>
        </is>
      </c>
      <c r="B14" s="5" t="inlineStr">
        <is>
          <t>広告費</t>
        </is>
      </c>
      <c r="C14" s="5" t="n">
        <v>200000</v>
      </c>
      <c r="D14" s="6" t="inlineStr"/>
      <c r="E14" s="5">
        <f>C14-D14</f>
        <v/>
      </c>
      <c r="F14" s="8">
        <f>IF(C14=0,"",D14/C14)</f>
        <v/>
      </c>
    </row>
    <row r="15">
      <c r="A15" s="5" t="inlineStr">
        <is>
          <t>Phase C（M5-12）</t>
        </is>
      </c>
      <c r="B15" s="5" t="inlineStr">
        <is>
          <t>AIツール</t>
        </is>
      </c>
      <c r="C15" s="5" t="n">
        <v>24000</v>
      </c>
      <c r="D15" s="6" t="inlineStr"/>
      <c r="E15" s="5">
        <f>C15-D15</f>
        <v/>
      </c>
      <c r="F15" s="8">
        <f>IF(C15=0,"",D15/C15)</f>
        <v/>
      </c>
    </row>
    <row r="16">
      <c r="A16" s="5" t="inlineStr">
        <is>
          <t>Phase C（M5-12）</t>
        </is>
      </c>
      <c r="B16" s="5" t="inlineStr">
        <is>
          <t>その他</t>
        </is>
      </c>
      <c r="C16" s="5" t="n">
        <v>40000</v>
      </c>
      <c r="D16" s="6" t="inlineStr"/>
      <c r="E16" s="5">
        <f>C16-D16</f>
        <v/>
      </c>
      <c r="F16" s="8">
        <f>IF(C16=0,"",D16/C16)</f>
        <v/>
      </c>
    </row>
    <row r="17">
      <c r="A17" s="9" t="inlineStr">
        <is>
          <t>Phase C 小計</t>
        </is>
      </c>
      <c r="B17" s="9" t="inlineStr"/>
      <c r="C17" s="9">
        <f>SUM(C13:C16)</f>
        <v/>
      </c>
      <c r="D17" s="10">
        <f>SUM(D13:D16)</f>
        <v/>
      </c>
      <c r="E17" s="9">
        <f>C17-D17</f>
        <v/>
      </c>
      <c r="F17" s="11">
        <f>IF(C17=0,"",D17/C17)</f>
        <v/>
      </c>
    </row>
    <row r="18">
      <c r="A18" s="9" t="inlineStr">
        <is>
          <t>Year 1 合計</t>
        </is>
      </c>
      <c r="B18" s="9" t="inlineStr"/>
      <c r="C18" s="9">
        <f>C8+C12+C17</f>
        <v/>
      </c>
      <c r="D18" s="10">
        <f>D8+D12+D17</f>
        <v/>
      </c>
      <c r="E18" s="9">
        <f>C18-D18</f>
        <v/>
      </c>
      <c r="F18" s="11">
        <f>IF(C18=0,"",D18/C18)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2026-02-12T07:13:47Z</dcterms:created>
  <dcterms:modified xsi:type="dcterms:W3CDTF">2026-02-12T07:13:47Z</dcterms:modified>
</cp:coreProperties>
</file>